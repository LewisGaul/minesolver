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gaul\Documents\personal\minesolver\notes\"/>
    </mc:Choice>
  </mc:AlternateContent>
  <xr:revisionPtr revIDLastSave="0" documentId="8_{792907F2-D645-4496-8214-0BB84E51DA16}" xr6:coauthVersionLast="47" xr6:coauthVersionMax="47" xr10:uidLastSave="{00000000-0000-0000-0000-000000000000}"/>
  <bookViews>
    <workbookView xWindow="-110" yWindow="-110" windowWidth="19420" windowHeight="10420" activeTab="1" xr2:uid="{4B8FAF12-EFD3-42B2-B587-75819471689F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2" l="1"/>
  <c r="A8" i="2"/>
  <c r="A7" i="2"/>
  <c r="C7" i="2" s="1"/>
  <c r="A6" i="2"/>
  <c r="A5" i="2"/>
  <c r="C4" i="2"/>
  <c r="C3" i="2"/>
  <c r="C8" i="1"/>
  <c r="A8" i="1"/>
  <c r="C7" i="1"/>
  <c r="A7" i="1"/>
  <c r="A6" i="1"/>
  <c r="A5" i="1"/>
  <c r="A4" i="1"/>
  <c r="C6" i="1"/>
  <c r="C5" i="1"/>
  <c r="C4" i="1"/>
  <c r="C3" i="1"/>
  <c r="C2" i="1"/>
  <c r="O4" i="2" a="1"/>
  <c r="O8" i="2" a="1"/>
  <c r="O9" i="2" a="1"/>
  <c r="O5" i="2" a="1"/>
  <c r="O7" i="2" a="1"/>
  <c r="O6" i="2" a="1"/>
  <c r="O3" i="2" a="1"/>
  <c r="D5" i="2" a="1"/>
  <c r="D7" i="2" a="1"/>
  <c r="D9" i="2" a="1"/>
  <c r="D6" i="2" a="1"/>
  <c r="D8" i="2" a="1"/>
  <c r="D4" i="2" a="1"/>
  <c r="D3" i="2" a="1"/>
  <c r="D4" i="1" a="1"/>
  <c r="D8" i="1" a="1"/>
  <c r="D7" i="1" a="1"/>
  <c r="D5" i="1" a="1"/>
  <c r="D3" i="1" a="1"/>
  <c r="D6" i="1" a="1"/>
  <c r="D2" i="1" a="1"/>
  <c r="O6" i="2" l="1"/>
  <c r="O7" i="2"/>
  <c r="O5" i="2"/>
  <c r="O9" i="2"/>
  <c r="O8" i="2"/>
  <c r="O4" i="2"/>
  <c r="O3" i="2"/>
  <c r="D4" i="2"/>
  <c r="D8" i="2"/>
  <c r="D6" i="2"/>
  <c r="D9" i="2"/>
  <c r="D7" i="2"/>
  <c r="D5" i="2"/>
  <c r="D3" i="2"/>
  <c r="C5" i="2"/>
  <c r="C9" i="2"/>
  <c r="C6" i="2"/>
  <c r="C8" i="2"/>
  <c r="D6" i="1"/>
  <c r="D3" i="1"/>
  <c r="D5" i="1"/>
  <c r="D7" i="1"/>
  <c r="D8" i="1"/>
  <c r="D4" i="1"/>
  <c r="D2" i="1"/>
  <c r="N4" i="2" a="1"/>
  <c r="M4" i="2" a="1"/>
  <c r="L4" i="2" a="1"/>
  <c r="Q4" i="2" a="1"/>
  <c r="R4" i="2" a="1"/>
  <c r="U4" i="2" a="1"/>
  <c r="N8" i="2" a="1"/>
  <c r="M8" i="2" a="1"/>
  <c r="L8" i="2" a="1"/>
  <c r="Q8" i="2" a="1"/>
  <c r="R8" i="2" a="1"/>
  <c r="S8" i="2" a="1"/>
  <c r="U8" i="2" a="1"/>
  <c r="V8" i="2" a="1"/>
  <c r="W8" i="2" a="1"/>
  <c r="M6" i="2" a="1"/>
  <c r="L6" i="2" a="1"/>
  <c r="N6" i="2" a="1"/>
  <c r="Q6" i="2" a="1"/>
  <c r="R6" i="2" a="1"/>
  <c r="S6" i="2" a="1"/>
  <c r="U6" i="2" a="1"/>
  <c r="V6" i="2" a="1"/>
  <c r="W6" i="2" a="1"/>
  <c r="N5" i="2" a="1"/>
  <c r="M5" i="2" a="1"/>
  <c r="L5" i="2" a="1"/>
  <c r="Q5" i="2" a="1"/>
  <c r="R5" i="2" a="1"/>
  <c r="S5" i="2" a="1"/>
  <c r="U5" i="2" a="1"/>
  <c r="V5" i="2" a="1"/>
  <c r="L3" i="2" a="1"/>
  <c r="M3" i="2" a="1"/>
  <c r="N3" i="2" a="1"/>
  <c r="Q3" i="2" a="1"/>
  <c r="R3" i="2" a="1"/>
  <c r="U3" i="2" a="1"/>
  <c r="N9" i="2" a="1"/>
  <c r="L9" i="2" a="1"/>
  <c r="M9" i="2" a="1"/>
  <c r="Q9" i="2" a="1"/>
  <c r="R9" i="2" a="1"/>
  <c r="S9" i="2" a="1"/>
  <c r="U9" i="2" a="1"/>
  <c r="V9" i="2" a="1"/>
  <c r="W9" i="2" a="1"/>
  <c r="L7" i="2" a="1"/>
  <c r="N7" i="2" a="1"/>
  <c r="M7" i="2" a="1"/>
  <c r="Q7" i="2" a="1"/>
  <c r="R7" i="2" a="1"/>
  <c r="S7" i="2" a="1"/>
  <c r="U7" i="2" a="1"/>
  <c r="V7" i="2" a="1"/>
  <c r="W7" i="2" a="1"/>
  <c r="E3" i="2" a="1"/>
  <c r="H3" i="2" a="1"/>
  <c r="I3" i="2" a="1"/>
  <c r="J3" i="2" a="1"/>
  <c r="I4" i="2" a="1"/>
  <c r="E4" i="2" a="1"/>
  <c r="J4" i="2" a="1"/>
  <c r="H4" i="2" a="1"/>
  <c r="H5" i="2" a="1"/>
  <c r="E5" i="2" a="1"/>
  <c r="I5" i="2" a="1"/>
  <c r="J5" i="2" a="1"/>
  <c r="J8" i="2" a="1"/>
  <c r="I8" i="2" a="1"/>
  <c r="E8" i="2" a="1"/>
  <c r="H8" i="2" a="1"/>
  <c r="I6" i="2" a="1"/>
  <c r="E6" i="2" a="1"/>
  <c r="J6" i="2" a="1"/>
  <c r="H6" i="2" a="1"/>
  <c r="I9" i="2" a="1"/>
  <c r="H9" i="2" a="1"/>
  <c r="E9" i="2" a="1"/>
  <c r="J9" i="2" a="1"/>
  <c r="I7" i="2" a="1"/>
  <c r="H7" i="2" a="1"/>
  <c r="E7" i="2" a="1"/>
  <c r="J7" i="2" a="1"/>
  <c r="H6" i="1" a="1"/>
  <c r="G6" i="1" a="1"/>
  <c r="F6" i="1" a="1"/>
  <c r="I6" i="1" a="1"/>
  <c r="E6" i="1" a="1"/>
  <c r="H5" i="1" a="1"/>
  <c r="F5" i="1" a="1"/>
  <c r="G5" i="1" a="1"/>
  <c r="I5" i="1" a="1"/>
  <c r="E5" i="1" a="1"/>
  <c r="F3" i="1" a="1"/>
  <c r="G3" i="1" a="1"/>
  <c r="H3" i="1" a="1"/>
  <c r="I3" i="1" a="1"/>
  <c r="E3" i="1" a="1"/>
  <c r="G4" i="1" a="1"/>
  <c r="F4" i="1" a="1"/>
  <c r="I4" i="1" a="1"/>
  <c r="E4" i="1" a="1"/>
  <c r="H4" i="1" a="1"/>
  <c r="H7" i="1" a="1"/>
  <c r="G7" i="1" a="1"/>
  <c r="F7" i="1" a="1"/>
  <c r="I7" i="1" a="1"/>
  <c r="E7" i="1" a="1"/>
  <c r="F8" i="1" a="1"/>
  <c r="I8" i="1" a="1"/>
  <c r="H8" i="1" a="1"/>
  <c r="E8" i="1" a="1"/>
  <c r="G8" i="1" a="1"/>
  <c r="E2" i="1" a="1"/>
  <c r="F2" i="1" a="1"/>
  <c r="G2" i="1" a="1"/>
  <c r="H2" i="1" a="1"/>
  <c r="I2" i="1" a="1"/>
  <c r="W7" i="2" l="1"/>
  <c r="V7" i="2"/>
  <c r="U7" i="2"/>
  <c r="S7" i="2"/>
  <c r="R7" i="2"/>
  <c r="Q7" i="2"/>
  <c r="M7" i="2"/>
  <c r="N7" i="2"/>
  <c r="L7" i="2"/>
  <c r="W9" i="2"/>
  <c r="V9" i="2"/>
  <c r="U9" i="2"/>
  <c r="S9" i="2"/>
  <c r="R9" i="2"/>
  <c r="Q9" i="2"/>
  <c r="M9" i="2"/>
  <c r="L9" i="2"/>
  <c r="N9" i="2"/>
  <c r="U3" i="2"/>
  <c r="R3" i="2"/>
  <c r="Q3" i="2"/>
  <c r="N3" i="2"/>
  <c r="M3" i="2"/>
  <c r="L3" i="2"/>
  <c r="V5" i="2"/>
  <c r="U5" i="2"/>
  <c r="S5" i="2"/>
  <c r="R5" i="2"/>
  <c r="Q5" i="2"/>
  <c r="L5" i="2"/>
  <c r="M5" i="2"/>
  <c r="N5" i="2"/>
  <c r="W6" i="2"/>
  <c r="V6" i="2"/>
  <c r="U6" i="2"/>
  <c r="S6" i="2"/>
  <c r="R6" i="2"/>
  <c r="Q6" i="2"/>
  <c r="N6" i="2"/>
  <c r="L6" i="2"/>
  <c r="M6" i="2"/>
  <c r="W8" i="2"/>
  <c r="V8" i="2"/>
  <c r="U8" i="2"/>
  <c r="S8" i="2"/>
  <c r="R8" i="2"/>
  <c r="Q8" i="2"/>
  <c r="L8" i="2"/>
  <c r="M8" i="2"/>
  <c r="N8" i="2"/>
  <c r="U4" i="2"/>
  <c r="R4" i="2"/>
  <c r="Q4" i="2"/>
  <c r="L4" i="2"/>
  <c r="M4" i="2"/>
  <c r="N4" i="2"/>
  <c r="J3" i="2"/>
  <c r="I3" i="2"/>
  <c r="H3" i="2"/>
  <c r="E3" i="2"/>
  <c r="J7" i="2"/>
  <c r="E7" i="2"/>
  <c r="H7" i="2"/>
  <c r="I7" i="2"/>
  <c r="J9" i="2"/>
  <c r="E9" i="2"/>
  <c r="H9" i="2"/>
  <c r="I9" i="2"/>
  <c r="H6" i="2"/>
  <c r="J6" i="2"/>
  <c r="E6" i="2"/>
  <c r="I6" i="2"/>
  <c r="H8" i="2"/>
  <c r="E8" i="2"/>
  <c r="I8" i="2"/>
  <c r="J8" i="2"/>
  <c r="J5" i="2"/>
  <c r="I5" i="2"/>
  <c r="E5" i="2"/>
  <c r="H5" i="2"/>
  <c r="H4" i="2"/>
  <c r="J4" i="2"/>
  <c r="E4" i="2"/>
  <c r="I4" i="2"/>
  <c r="G8" i="1"/>
  <c r="E8" i="1"/>
  <c r="H8" i="1"/>
  <c r="I8" i="1"/>
  <c r="F8" i="1"/>
  <c r="E7" i="1"/>
  <c r="I7" i="1"/>
  <c r="F7" i="1"/>
  <c r="G7" i="1"/>
  <c r="H7" i="1"/>
  <c r="H4" i="1"/>
  <c r="E4" i="1"/>
  <c r="I4" i="1"/>
  <c r="F4" i="1"/>
  <c r="G4" i="1"/>
  <c r="E3" i="1"/>
  <c r="I3" i="1"/>
  <c r="H3" i="1"/>
  <c r="G3" i="1"/>
  <c r="F3" i="1"/>
  <c r="E5" i="1"/>
  <c r="I5" i="1"/>
  <c r="G5" i="1"/>
  <c r="F5" i="1"/>
  <c r="H5" i="1"/>
  <c r="E6" i="1"/>
  <c r="I6" i="1"/>
  <c r="F6" i="1"/>
  <c r="G6" i="1"/>
  <c r="H6" i="1"/>
  <c r="I2" i="1"/>
  <c r="H2" i="1"/>
  <c r="G2" i="1"/>
  <c r="F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<sst xmlns="http://schemas.openxmlformats.org/spreadsheetml/2006/main" count="32" uniqueCount="25">
  <si>
    <t>s</t>
  </si>
  <si>
    <t>m</t>
  </si>
  <si>
    <t>any mine</t>
  </si>
  <si>
    <t>single mine</t>
  </si>
  <si>
    <t>2, 1, …</t>
  </si>
  <si>
    <t>3, 1, …</t>
  </si>
  <si>
    <t>4, 1, …</t>
  </si>
  <si>
    <t>5, 1, …</t>
  </si>
  <si>
    <t>density</t>
  </si>
  <si>
    <t>2, x, …</t>
  </si>
  <si>
    <t>3, x, …</t>
  </si>
  <si>
    <t>4, x, …</t>
  </si>
  <si>
    <t>xmax=1</t>
  </si>
  <si>
    <t>xmax=2</t>
  </si>
  <si>
    <t>xmax=3</t>
  </si>
  <si>
    <t>xmax</t>
  </si>
  <si>
    <t>Approx 1</t>
  </si>
  <si>
    <t>k, 1, 1, …</t>
  </si>
  <si>
    <t>2, 2, x, …</t>
  </si>
  <si>
    <t>3, 3, x, …</t>
  </si>
  <si>
    <t>4, 4, x, …</t>
  </si>
  <si>
    <t>2, 2, 2, …</t>
  </si>
  <si>
    <t>3, 3, 3, …</t>
  </si>
  <si>
    <t>4, 4, 4, …</t>
  </si>
  <si>
    <t>5, x,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</si>
</sst>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0" fontId="2" fillId="0" borderId="0" xfId="1" applyNumberFormat="1" applyFont="1" applyAlignment="1">
      <alignment horizontal="center"/>
    </xf>
    <xf numFmtId="10" fontId="0" fillId="0" borderId="0" xfId="1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/>
    <xf numFmtId="166" fontId="2" fillId="0" borderId="0" xfId="1" applyNumberFormat="1" applyFont="1" applyAlignment="1">
      <alignment horizontal="center"/>
    </xf>
    <xf numFmtId="166" fontId="0" fillId="0" borderId="0" xfId="1" applyNumberFormat="1" applyFont="1"/>
    <xf numFmtId="0" fontId="2" fillId="0" borderId="0" xfId="0" applyFont="1" applyAlignment="1">
      <alignment horizontal="center"/>
    </xf>
    <xf numFmtId="2" fontId="2" fillId="0" borderId="0" xfId="0" applyNumberFormat="1" applyFont="1"/>
    <xf numFmtId="166" fontId="2" fillId="0" borderId="0" xfId="1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0" fontId="2" fillId="0" borderId="1" xfId="1" applyNumberFormat="1" applyFont="1" applyBorder="1" applyAlignment="1">
      <alignment horizontal="center"/>
    </xf>
    <xf numFmtId="10" fontId="0" fillId="0" borderId="1" xfId="1" applyNumberFormat="1" applyFont="1" applyBorder="1"/>
    <xf numFmtId="10" fontId="2" fillId="0" borderId="1" xfId="1" applyNumberFormat="1" applyFont="1" applyBorder="1" applyAlignment="1">
      <alignment horizontal="center"/>
    </xf>
    <xf numFmtId="10" fontId="2" fillId="0" borderId="0" xfId="1" applyNumberFormat="1" applyFont="1" applyBorder="1" applyAlignment="1">
      <alignment horizontal="center"/>
    </xf>
    <xf numFmtId="0" fontId="2" fillId="0" borderId="0" xfId="0" applyFont="1" applyBorder="1"/>
    <xf numFmtId="10" fontId="2" fillId="0" borderId="0" xfId="1" applyNumberFormat="1" applyFont="1" applyBorder="1" applyAlignment="1">
      <alignment horizontal="center"/>
    </xf>
    <xf numFmtId="10" fontId="0" fillId="0" borderId="0" xfId="1" applyNumberFormat="1" applyFont="1" applyBorder="1"/>
    <xf numFmtId="0" fontId="0" fillId="0" borderId="0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5F35-51D8-45B1-8C6D-EA62F7169773}">
  <sheetPr codeName="Sheet1"/>
  <dimension ref="A1:I8"/>
  <sheetViews>
    <sheetView workbookViewId="0">
      <selection activeCell="E12" sqref="E12"/>
    </sheetView>
  </sheetViews>
  <sheetFormatPr defaultRowHeight="14.5" x14ac:dyDescent="0.35"/>
  <cols>
    <col min="4" max="4" width="10.6328125" customWidth="1"/>
    <col min="5" max="9" width="10.6328125" style="4" customWidth="1"/>
  </cols>
  <sheetData>
    <row r="1" spans="1:9" s="2" customFormat="1" x14ac:dyDescent="0.35">
      <c r="A1" s="2" t="s">
        <v>0</v>
      </c>
      <c r="B1" s="2" t="s">
        <v>1</v>
      </c>
      <c r="C1" s="2" t="s">
        <v>8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35">
      <c r="A2">
        <v>8</v>
      </c>
      <c r="B2">
        <v>6</v>
      </c>
      <c r="C2">
        <f>B2/A2</f>
        <v>0.75</v>
      </c>
      <c r="D2" cm="1">
        <f t="array" ref="D2">ANYMINE(A2,B2)</f>
        <v>262144</v>
      </c>
      <c r="E2" s="4" cm="1">
        <f t="array" ref="E2">SINGLEMINE(A2,B2)/D2</f>
        <v>7.6904296875E-2</v>
      </c>
      <c r="F2" s="4" cm="1">
        <f t="array" ref="F2">A2*COMBIN(B2,2)*SINGLEMINE(A2-1, B2-2)/D2</f>
        <v>0.384521484375</v>
      </c>
      <c r="G2" s="4" cm="1">
        <f t="array" ref="G2">A2*COMBIN(B2,3)*SINGLEMINE(A2-1,B2-3)/D2</f>
        <v>0.128173828125</v>
      </c>
      <c r="H2" s="4" cm="1">
        <f t="array" ref="H2">A2*COMBIN(B2,4)*SINGLEMINE(A2-1,B2-4)/D2</f>
        <v>1.922607421875E-2</v>
      </c>
      <c r="I2" s="4" cm="1">
        <f t="array" ref="I2">A2*COMBIN(B2,5)*SINGLEMINE(A2-1,B2-5)/D2</f>
        <v>1.28173828125E-3</v>
      </c>
    </row>
    <row r="3" spans="1:9" x14ac:dyDescent="0.35">
      <c r="A3">
        <v>30</v>
      </c>
      <c r="B3">
        <v>6</v>
      </c>
      <c r="C3">
        <f>B3/A3</f>
        <v>0.2</v>
      </c>
      <c r="D3" cm="1">
        <f t="array" ref="D3">ANYMINE(A3,B3)</f>
        <v>729000000</v>
      </c>
      <c r="E3" s="4" cm="1">
        <f t="array" ref="E3">SINGLEMINE(A3,B3)/D3</f>
        <v>0.58644444444444466</v>
      </c>
      <c r="F3" s="4" cm="1">
        <f t="array" ref="F3">A3*COMBIN(B3,2)*SINGLEMINE(A3-1, B3-2)/D3</f>
        <v>0.35186666666666666</v>
      </c>
      <c r="G3" s="4" cm="1">
        <f t="array" ref="G3">A3*COMBIN(B3,3)*SINGLEMINE(A3-1,B3-3)/D3</f>
        <v>1.8044444444444439E-2</v>
      </c>
      <c r="H3" s="4" cm="1">
        <f t="array" ref="H3">A3*COMBIN(B3,4)*SINGLEMINE(A3-1,B3-4)/D3</f>
        <v>5.0123456790123453E-4</v>
      </c>
      <c r="I3" s="4" cm="1">
        <f t="array" ref="I3">A3*COMBIN(B3,5)*SINGLEMINE(A3-1,B3-5)/D3</f>
        <v>7.1604938271604942E-6</v>
      </c>
    </row>
    <row r="4" spans="1:9" x14ac:dyDescent="0.35">
      <c r="A4">
        <f>8*8</f>
        <v>64</v>
      </c>
      <c r="B4">
        <v>10</v>
      </c>
      <c r="C4">
        <f>B4/A4</f>
        <v>0.15625</v>
      </c>
      <c r="D4" cm="1">
        <f t="array" ref="D4">ANYMINE(A4,B4)</f>
        <v>1.152921504606847E+18</v>
      </c>
      <c r="E4" s="4" cm="1">
        <f t="array" ref="E4">SINGLEMINE(A4,B4)/D4</f>
        <v>0.47675925874219882</v>
      </c>
      <c r="F4" s="4" cm="1">
        <f t="array" ref="F4">A4*COMBIN(B4,2)*SINGLEMINE(A4-1, B4-2)/D4</f>
        <v>0.39007575715270837</v>
      </c>
      <c r="G4" s="4" cm="1">
        <f t="array" ref="G4">A4*COMBIN(B4,3)*SINGLEMINE(A4-1,B4-3)/D4</f>
        <v>1.8575036054890862E-2</v>
      </c>
      <c r="H4" s="4" cm="1">
        <f t="array" ref="H4">A4*COMBIN(B4,4)*SINGLEMINE(A4-1,B4-4)/D4</f>
        <v>5.7028619466770148E-4</v>
      </c>
      <c r="I4" s="4" cm="1">
        <f t="array" ref="I4">A4*COMBIN(B4,5)*SINGLEMINE(A4-1,B4-5)/D4</f>
        <v>1.1799024717262791E-5</v>
      </c>
    </row>
    <row r="5" spans="1:9" x14ac:dyDescent="0.35">
      <c r="A5">
        <f>16*16</f>
        <v>256</v>
      </c>
      <c r="B5">
        <v>40</v>
      </c>
      <c r="C5">
        <f>B5/A5</f>
        <v>0.15625</v>
      </c>
      <c r="D5" cm="1">
        <f t="array" ref="D5">ANYMINE(A5,B5)</f>
        <v>2.1359870359209101E+96</v>
      </c>
      <c r="E5" s="4" t="e" cm="1">
        <f t="array" ref="E5">SINGLEMINE(A5,B5)/D5</f>
        <v>#VALUE!</v>
      </c>
      <c r="F5" s="4" t="e" cm="1">
        <f t="array" ref="F5">A5*COMBIN(B5,2)*SINGLEMINE(A5-1, B5-2)/D5</f>
        <v>#VALUE!</v>
      </c>
      <c r="G5" s="4" t="e" cm="1">
        <f t="array" ref="G5">A5*COMBIN(B5,3)*SINGLEMINE(A5-1,B5-3)/D5</f>
        <v>#VALUE!</v>
      </c>
      <c r="H5" s="4" t="e" cm="1">
        <f t="array" ref="H5">A5*COMBIN(B5,4)*SINGLEMINE(A5-1,B5-4)/D5</f>
        <v>#VALUE!</v>
      </c>
      <c r="I5" s="4" t="e" cm="1">
        <f t="array" ref="I5">A5*COMBIN(B5,5)*SINGLEMINE(A5-1,B5-5)/D5</f>
        <v>#VALUE!</v>
      </c>
    </row>
    <row r="6" spans="1:9" x14ac:dyDescent="0.35">
      <c r="A6">
        <f>16*30</f>
        <v>480</v>
      </c>
      <c r="B6">
        <v>99</v>
      </c>
      <c r="C6">
        <f>B6/A6</f>
        <v>0.20624999999999999</v>
      </c>
      <c r="D6" cm="1">
        <f t="array" ref="D6">ANYMINE(A6,B6)</f>
        <v>2.7725698751645204E+265</v>
      </c>
      <c r="E6" s="4" t="e" cm="1">
        <f t="array" ref="E6">SINGLEMINE(A6,B6)/D6</f>
        <v>#VALUE!</v>
      </c>
      <c r="F6" s="4" t="e" cm="1">
        <f t="array" ref="F6">A6*COMBIN(B6,2)*SINGLEMINE(A6-1, B6-2)/D6</f>
        <v>#VALUE!</v>
      </c>
      <c r="G6" s="4" t="e" cm="1">
        <f t="array" ref="G6">A6*COMBIN(B6,3)*SINGLEMINE(A6-1,B6-3)/D6</f>
        <v>#VALUE!</v>
      </c>
      <c r="H6" s="4" t="e" cm="1">
        <f t="array" ref="H6">A6*COMBIN(B6,4)*SINGLEMINE(A6-1,B6-4)/D6</f>
        <v>#VALUE!</v>
      </c>
      <c r="I6" s="4" t="e" cm="1">
        <f t="array" ref="I6">A6*COMBIN(B6,5)*SINGLEMINE(A6-1,B6-5)/D6</f>
        <v>#VALUE!</v>
      </c>
    </row>
    <row r="7" spans="1:9" x14ac:dyDescent="0.35">
      <c r="A7">
        <f>30*30</f>
        <v>900</v>
      </c>
      <c r="B7">
        <v>200</v>
      </c>
      <c r="C7">
        <f>B7/A7</f>
        <v>0.22222222222222221</v>
      </c>
      <c r="D7" t="e" cm="1">
        <f t="array" ref="D7">ANYMINE(A7,B7)</f>
        <v>#VALUE!</v>
      </c>
      <c r="E7" s="4" t="e" cm="1">
        <f t="array" ref="E7">SINGLEMINE(A7,B7)/D7</f>
        <v>#VALUE!</v>
      </c>
      <c r="F7" s="4" t="e" cm="1">
        <f t="array" ref="F7">A7*COMBIN(B7,2)*SINGLEMINE(A7-1, B7-2)/D7</f>
        <v>#VALUE!</v>
      </c>
      <c r="G7" s="4" t="e" cm="1">
        <f t="array" ref="G7">A7*COMBIN(B7,3)*SINGLEMINE(A7-1,B7-3)/D7</f>
        <v>#VALUE!</v>
      </c>
      <c r="H7" s="4" t="e" cm="1">
        <f t="array" ref="H7">A7*COMBIN(B7,4)*SINGLEMINE(A7-1,B7-4)/D7</f>
        <v>#VALUE!</v>
      </c>
      <c r="I7" s="4" t="e" cm="1">
        <f t="array" ref="I7">A7*COMBIN(B7,5)*SINGLEMINE(A7-1,B7-5)/D7</f>
        <v>#VALUE!</v>
      </c>
    </row>
    <row r="8" spans="1:9" x14ac:dyDescent="0.35">
      <c r="A8">
        <f>50*50</f>
        <v>2500</v>
      </c>
      <c r="B8">
        <v>625</v>
      </c>
      <c r="C8">
        <f>B8/A8</f>
        <v>0.25</v>
      </c>
      <c r="D8" t="e" cm="1">
        <f t="array" ref="D8">ANYMINE(A8,B8)</f>
        <v>#VALUE!</v>
      </c>
      <c r="E8" s="4" t="e" cm="1">
        <f t="array" ref="E8">SINGLEMINE(A8,B8)/D8</f>
        <v>#VALUE!</v>
      </c>
      <c r="F8" s="4" t="e" cm="1">
        <f t="array" ref="F8">A8*COMBIN(B8,2)*SINGLEMINE(A8-1, B8-2)/D8</f>
        <v>#VALUE!</v>
      </c>
      <c r="G8" s="4" t="e" cm="1">
        <f t="array" ref="G8">A8*COMBIN(B8,3)*SINGLEMINE(A8-1,B8-3)/D8</f>
        <v>#VALUE!</v>
      </c>
      <c r="H8" s="4" t="e" cm="1">
        <f t="array" ref="H8">A8*COMBIN(B8,4)*SINGLEMINE(A8-1,B8-4)/D8</f>
        <v>#VALUE!</v>
      </c>
      <c r="I8" s="4" t="e" cm="1">
        <f t="array" ref="I8">A8*COMBIN(B8,5)*SINGLEMINE(A8-1,B8-5)/D8</f>
        <v>#VALUE!</v>
      </c>
    </row>
  </sheetData>
  <conditionalFormatting sqref="E2:I8">
    <cfRule type="colorScale" priority="2">
      <colorScale>
        <cfvo type="num" val="0"/>
        <cfvo type="num" val="1"/>
        <color rgb="FFFCFCFF"/>
        <color rgb="FF63BE7B"/>
      </colorScale>
    </cfRule>
  </conditionalFormatting>
  <conditionalFormatting sqref="C1:C1048576">
    <cfRule type="colorScale" priority="1">
      <colorScale>
        <cfvo type="num" val="0"/>
        <cfvo type="num" val="1"/>
        <color rgb="FFFCFCFF"/>
        <color theme="4"/>
      </colorScale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C142A-F3F3-400B-AA32-0E3BD990EC5C}">
  <sheetPr codeName="Sheet2"/>
  <dimension ref="A1:W14"/>
  <sheetViews>
    <sheetView tabSelected="1" workbookViewId="0">
      <selection activeCell="N12" sqref="N12"/>
    </sheetView>
  </sheetViews>
  <sheetFormatPr defaultRowHeight="14.5" x14ac:dyDescent="0.35"/>
  <cols>
    <col min="3" max="3" width="8.7265625" style="6"/>
    <col min="4" max="4" width="10.6328125" style="6" customWidth="1"/>
    <col min="5" max="10" width="10.6328125" style="8" customWidth="1"/>
    <col min="11" max="11" width="1.7265625" style="8" customWidth="1"/>
    <col min="12" max="12" width="10.6328125" style="14" customWidth="1"/>
    <col min="13" max="15" width="10.6328125" style="4" customWidth="1"/>
    <col min="16" max="16" width="2.1796875" style="4" customWidth="1"/>
    <col min="17" max="19" width="10.6328125" style="20" customWidth="1"/>
    <col min="20" max="20" width="2" customWidth="1"/>
    <col min="21" max="23" width="10.6328125" customWidth="1"/>
  </cols>
  <sheetData>
    <row r="1" spans="1:23" s="1" customFormat="1" x14ac:dyDescent="0.35">
      <c r="A1" s="9" t="s">
        <v>0</v>
      </c>
      <c r="B1" s="9" t="s">
        <v>1</v>
      </c>
      <c r="C1" s="12" t="s">
        <v>8</v>
      </c>
      <c r="D1" s="10"/>
      <c r="E1" s="11" t="s">
        <v>15</v>
      </c>
      <c r="F1" s="11"/>
      <c r="G1" s="11"/>
      <c r="H1" s="11" t="s">
        <v>17</v>
      </c>
      <c r="I1" s="11"/>
      <c r="J1" s="11"/>
      <c r="K1" s="7"/>
      <c r="L1" s="15" t="s">
        <v>16</v>
      </c>
      <c r="M1" s="16"/>
      <c r="N1" s="16"/>
      <c r="O1" s="16"/>
      <c r="P1" s="3"/>
      <c r="Q1" s="17"/>
      <c r="R1" s="17"/>
      <c r="S1" s="17"/>
    </row>
    <row r="2" spans="1:23" s="2" customFormat="1" x14ac:dyDescent="0.35">
      <c r="A2" s="9"/>
      <c r="B2" s="9"/>
      <c r="C2" s="12"/>
      <c r="D2" s="5" t="s">
        <v>2</v>
      </c>
      <c r="E2" s="7" t="s">
        <v>12</v>
      </c>
      <c r="F2" s="7" t="s">
        <v>13</v>
      </c>
      <c r="G2" s="7" t="s">
        <v>14</v>
      </c>
      <c r="H2" s="7" t="s">
        <v>4</v>
      </c>
      <c r="I2" s="7" t="s">
        <v>5</v>
      </c>
      <c r="J2" s="7" t="s">
        <v>6</v>
      </c>
      <c r="K2" s="7"/>
      <c r="L2" s="13" t="s">
        <v>9</v>
      </c>
      <c r="M2" s="3" t="s">
        <v>10</v>
      </c>
      <c r="N2" s="3" t="s">
        <v>11</v>
      </c>
      <c r="O2" s="3" t="s">
        <v>24</v>
      </c>
      <c r="P2" s="3"/>
      <c r="Q2" s="18" t="s">
        <v>18</v>
      </c>
      <c r="R2" s="18" t="s">
        <v>19</v>
      </c>
      <c r="S2" s="18" t="s">
        <v>20</v>
      </c>
      <c r="U2" s="18" t="s">
        <v>21</v>
      </c>
      <c r="V2" s="18" t="s">
        <v>22</v>
      </c>
      <c r="W2" s="18" t="s">
        <v>23</v>
      </c>
    </row>
    <row r="3" spans="1:23" x14ac:dyDescent="0.35">
      <c r="A3">
        <v>8</v>
      </c>
      <c r="B3">
        <v>6</v>
      </c>
      <c r="C3" s="6">
        <f>B3/A3</f>
        <v>0.75</v>
      </c>
      <c r="D3" s="6" cm="1">
        <f t="array" ref="D3">LOGANYMINE(A3,B3)</f>
        <v>12.476649250079014</v>
      </c>
      <c r="E3" s="8" cm="1">
        <f t="array" ref="E3">EXP(LOGSINGLEMINE(A3,B3)-D3)</f>
        <v>7.6904296875000194E-2</v>
      </c>
      <c r="F3" s="8">
        <v>0.76904296875</v>
      </c>
      <c r="G3" s="8">
        <v>0.97625732421875</v>
      </c>
      <c r="H3" s="8" cm="1">
        <f t="array" ref="H3">A3*COMBIN(B3,2)*EXP(LOGSINGLEMINE(A3-1, B3-2)-D3)</f>
        <v>0.38452148437500072</v>
      </c>
      <c r="I3" s="8" cm="1">
        <f t="array" ref="I3">A3*COMBIN(B3,3)*EXP(LOGSINGLEMINE(A3-1,B3-3)-D3)</f>
        <v>0.12817382812500022</v>
      </c>
      <c r="J3" s="8" cm="1">
        <f t="array" ref="J3">A3*COMBIN(B3,4)*EXP(LOGSINGLEMINE(A3-1,B3-4)-D3)</f>
        <v>1.9226074218750031E-2</v>
      </c>
      <c r="L3" s="14" cm="1">
        <f t="array" ref="L3">$A3*COMBIN($B3,2)*EXP(LOGANYMINE($A3-1, $B3-2)-$D3)</f>
        <v>1.0990905761718768</v>
      </c>
      <c r="M3" s="4" cm="1">
        <f t="array" ref="M3">$A3*COMBIN($B3,3)*EXP(LOGANYMINE($A3-1, $B3-3)-$D3)</f>
        <v>0.20935058593750031</v>
      </c>
      <c r="N3" s="4" cm="1">
        <f t="array" ref="N3">$A3*COMBIN($B3,4)*EXP(LOGANYMINE($A3-1, $B3-4)-$D3)</f>
        <v>2.2430419921875052E-2</v>
      </c>
      <c r="O3" s="4" cm="1">
        <f t="array" ref="O3">$A3*COMBIN($B3,5)*EXP(LOGANYMINE($A3-1, $B3-5)-$D3)</f>
        <v>1.2817382812500028E-3</v>
      </c>
      <c r="Q3" s="19" cm="1">
        <f t="array" ref="Q3">$A3*COMBIN($B3,2)*($A3-1)*COMBIN($B3-2,2)/2*EXP(LOGANYMINE($A3-2, $B3-4)-$D3)</f>
        <v>0.34606933593750033</v>
      </c>
      <c r="R3" s="19" cm="1">
        <f t="array" ref="R3">$A3*COMBIN($B3,3)*($A3-1)*COMBIN($B3-3,3)/2*EXP(LOGANYMINE($A3-2, $B3-6)-$D3)</f>
        <v>2.1362304687500043E-3</v>
      </c>
      <c r="S3" s="19">
        <v>0</v>
      </c>
      <c r="U3" s="19" cm="1">
        <f t="array" ref="U3">$A3*COMBIN($B3,2)*($A3-1)*COMBIN($B3-2,2)*($A3-2)*COMBIN($B3-4,2)/FACT(3)*EXP(LOGANYMINE($A3-2, $B3-6)-$D3)</f>
        <v>1.9226074218750038E-2</v>
      </c>
      <c r="V3" s="19">
        <v>0</v>
      </c>
      <c r="W3" s="19">
        <v>0</v>
      </c>
    </row>
    <row r="4" spans="1:23" x14ac:dyDescent="0.35">
      <c r="A4">
        <v>30</v>
      </c>
      <c r="B4">
        <v>6</v>
      </c>
      <c r="C4" s="6">
        <f>B4/A4</f>
        <v>0.2</v>
      </c>
      <c r="D4" s="6" cm="1">
        <f t="array" ref="D4">LOGANYMINE(A4,B4)</f>
        <v>20.407184289972932</v>
      </c>
      <c r="E4" s="8" cm="1">
        <f t="array" ref="E4">EXP(LOGSINGLEMINE(A4,B4)-D4)</f>
        <v>0.58644444444444344</v>
      </c>
      <c r="F4" s="8">
        <v>0.97941234567901203</v>
      </c>
      <c r="G4" s="8">
        <v>0.99947366255143999</v>
      </c>
      <c r="H4" s="8" cm="1">
        <f t="array" ref="H4">A4*COMBIN(B4,2)*EXP(LOGSINGLEMINE(A4-1, B4-2)-D4)</f>
        <v>0.35186666666666699</v>
      </c>
      <c r="I4" s="8" cm="1">
        <f t="array" ref="I4">A4*COMBIN(B4,3)*EXP(LOGSINGLEMINE(A4-1,B4-3)-D4)</f>
        <v>1.8044444444444471E-2</v>
      </c>
      <c r="J4" s="8" cm="1">
        <f t="array" ref="J4">A4*COMBIN(B4,4)*EXP(LOGSINGLEMINE(A4-1,B4-4)-D4)</f>
        <v>5.0123456790123432E-4</v>
      </c>
      <c r="L4" s="14" cm="1">
        <f t="array" ref="L4">$A4*COMBIN($B4,2)*EXP(LOGANYMINE($A4-1, $B4-2)-$D4)</f>
        <v>0.4365932098765436</v>
      </c>
      <c r="M4" s="4" cm="1">
        <f t="array" ref="M4">$A4*COMBIN($B4,3)*EXP(LOGANYMINE($A4-1, $B4-3)-$D4)</f>
        <v>2.0073251028806589E-2</v>
      </c>
      <c r="N4" s="4" cm="1">
        <f t="array" ref="N4">$A4*COMBIN($B4,4)*EXP(LOGANYMINE($A4-1, $B4-4)-$D4)</f>
        <v>5.191358024691366E-4</v>
      </c>
      <c r="O4" s="4" cm="1">
        <f t="array" ref="O4">$A4*COMBIN($B4,5)*EXP(LOGANYMINE($A4-1, $B4-5)-$D4)</f>
        <v>7.1604938271605009E-6</v>
      </c>
      <c r="Q4" s="19" cm="1">
        <f t="array" ref="Q4">$A4*COMBIN($B4,2)*($A4-1)*COMBIN($B4-2,2)/2*EXP(LOGANYMINE($A4-2, $B4-4)-$D4)</f>
        <v>4.2103703703703747E-2</v>
      </c>
      <c r="R4" s="19" cm="1">
        <f t="array" ref="R4">$A4*COMBIN($B4,3)*($A4-1)*COMBIN($B4-3,3)/2*EXP(LOGANYMINE($A4-2, $B4-6)-$D4)</f>
        <v>1.1934156378600827E-5</v>
      </c>
      <c r="S4" s="19">
        <v>0</v>
      </c>
      <c r="U4" s="19" cm="1">
        <f t="array" ref="U4">$A4*COMBIN($B4,2)*($A4-1)*COMBIN($B4-2,2)*($A4-2)*COMBIN($B4-4,2)/FACT(3)*EXP(LOGANYMINE($A4-2, $B4-6)-$D4)</f>
        <v>5.0123456790123475E-4</v>
      </c>
      <c r="V4" s="19">
        <v>0</v>
      </c>
      <c r="W4" s="19">
        <v>0</v>
      </c>
    </row>
    <row r="5" spans="1:23" x14ac:dyDescent="0.35">
      <c r="A5">
        <f>8*8</f>
        <v>64</v>
      </c>
      <c r="B5">
        <v>10</v>
      </c>
      <c r="C5" s="6">
        <f>B5/A5</f>
        <v>0.15625</v>
      </c>
      <c r="D5" s="6" cm="1">
        <f t="array" ref="D5">LOGANYMINE(A5,B5)</f>
        <v>41.588830833596717</v>
      </c>
      <c r="E5" s="8" cm="1">
        <f t="array" ref="E5">EXP(LOGSINGLEMINE(A5,B5)-D5)</f>
        <v>0.47675925874219505</v>
      </c>
      <c r="F5" s="8">
        <v>0.97313022975455898</v>
      </c>
      <c r="G5" s="8">
        <v>0.99925709529470297</v>
      </c>
      <c r="H5" s="8" cm="1">
        <f t="array" ref="H5">A5*COMBIN(B5,2)*EXP(LOGSINGLEMINE(A5-1, B5-2)-D5)</f>
        <v>0.3900757571527072</v>
      </c>
      <c r="I5" s="8" cm="1">
        <f t="array" ref="I5">A5*COMBIN(B5,3)*EXP(LOGSINGLEMINE(A5-1,B5-3)-D5)</f>
        <v>1.8575036054890939E-2</v>
      </c>
      <c r="J5" s="8" cm="1">
        <f t="array" ref="J5">A5*COMBIN(B5,4)*EXP(LOGSINGLEMINE(A5-1,B5-4)-D5)</f>
        <v>5.7028619466770267E-4</v>
      </c>
      <c r="L5" s="14" cm="1">
        <f t="array" ref="L5">$A5*COMBIN($B5,2)*EXP(LOGANYMINE($A5-1, $B5-2)-$D5)</f>
        <v>0.61989358713035203</v>
      </c>
      <c r="M5" s="4" cm="1">
        <f t="array" ref="M5">$A5*COMBIN($B5,3)*EXP(LOGANYMINE($A5-1, $B5-3)-$D5)</f>
        <v>2.6238881994935518E-2</v>
      </c>
      <c r="N5" s="4" cm="1">
        <f t="array" ref="N5">$A5*COMBIN($B5,4)*EXP(LOGANYMINE($A5-1, $B5-4)-$D5)</f>
        <v>7.2885783319265264E-4</v>
      </c>
      <c r="O5" s="4" cm="1">
        <f t="array" ref="O5">$A5*COMBIN($B5,5)*EXP(LOGANYMINE($A5-1, $B5-5)-$D5)</f>
        <v>1.3883006346526758E-5</v>
      </c>
      <c r="Q5" s="19" cm="1">
        <f t="array" ref="Q5">$A5*COMBIN($B5,2)*($A5-1)*COMBIN($B5-2,2)/2*EXP(LOGANYMINE($A5-2, $B5-4)-$D5)</f>
        <v>0.12514441429406287</v>
      </c>
      <c r="R5" s="19" cm="1">
        <f t="array" ref="R5">$A5*COMBIN($B5,3)*($A5-1)*COMBIN($B5-3,3)/2*EXP(LOGANYMINE($A5-2, $B5-6)-$D5)</f>
        <v>1.0851926317556628E-4</v>
      </c>
      <c r="S5" s="19" cm="1">
        <f t="array" ref="S5">$A5*COMBIN($B5,4)*($A5-1)*COMBIN($B5-4,4)/2*EXP(LOGANYMINE($A5-2, $B5-8)-$D5)</f>
        <v>2.1173113262662545E-8</v>
      </c>
      <c r="U5" s="19" cm="1">
        <f t="array" ref="U5">$A5*COMBIN($B5,2)*($A5-1)*COMBIN($B5-2,2)*($A5-2)*COMBIN($B5-4,2)/FACT(3)*EXP(LOGANYMINE($A5-2, $B5-6)-$D5)</f>
        <v>1.0092291475327664E-2</v>
      </c>
      <c r="V5" s="19" cm="1">
        <f t="array" ref="V5">$A5*COMBIN($B5,3)*($A5-1)*COMBIN($B5-3,3)*($A5-2)*COMBIN($B5-6,3)/FACT(3)*EXP(LOGANYMINE($A5-2, $B5-9)-$D5)</f>
        <v>3.7641090244733251E-8</v>
      </c>
      <c r="W5" s="19">
        <v>0</v>
      </c>
    </row>
    <row r="6" spans="1:23" x14ac:dyDescent="0.35">
      <c r="A6">
        <f>16*16</f>
        <v>256</v>
      </c>
      <c r="B6">
        <v>40</v>
      </c>
      <c r="C6" s="6">
        <f>B6/A6</f>
        <v>0.15625</v>
      </c>
      <c r="D6" s="6" cm="1">
        <f t="array" ref="D6">LOGANYMINE(A6,B6)</f>
        <v>221.8070977791825</v>
      </c>
      <c r="E6" s="8" cm="1">
        <f t="array" ref="E6">EXP(LOGSINGLEMINE(A6,B6)-D6)</f>
        <v>4.0078357029558011E-2</v>
      </c>
      <c r="F6" s="8">
        <v>0.871792842046478</v>
      </c>
      <c r="G6" s="8">
        <v>0.995139719350985</v>
      </c>
      <c r="H6" s="8" cm="1">
        <f t="array" ref="H6">A6*COMBIN(B6,2)*EXP(LOGSINGLEMINE(A6-1, B6-2)-D6)</f>
        <v>0.14406045383896249</v>
      </c>
      <c r="I6" s="8" cm="1">
        <f t="array" ref="I6">A6*COMBIN(B6,3)*EXP(LOGSINGLEMINE(A6-1,B6-3)-D6)</f>
        <v>8.370485085444572E-3</v>
      </c>
      <c r="J6" s="8" cm="1">
        <f t="array" ref="J6">A6*COMBIN(B6,4)*EXP(LOGSINGLEMINE(A6-1,B6-4)-D6)</f>
        <v>3.535478860290443E-4</v>
      </c>
      <c r="L6" s="14" cm="1">
        <f t="array" ref="L6">$A6*COMBIN($B6,2)*EXP(LOGANYMINE($A6-1, $B6-2)-$D6)</f>
        <v>2.6258070620539606</v>
      </c>
      <c r="M6" s="4" cm="1">
        <f t="array" ref="M6">$A6*COMBIN($B6,3)*EXP(LOGANYMINE($A6-1, $B6-3)-$D6)</f>
        <v>0.13043224621967531</v>
      </c>
      <c r="N6" s="4" cm="1">
        <f t="array" ref="N6">$A6*COMBIN($B6,4)*EXP(LOGANYMINE($A6-1, $B6-4)-$D6)</f>
        <v>4.731365794243176E-3</v>
      </c>
      <c r="O6" s="4" cm="1">
        <f t="array" ref="O6">$A6*COMBIN($B6,5)*EXP(LOGANYMINE($A6-1, $B6-5)-$D6)</f>
        <v>1.3359150477862853E-4</v>
      </c>
      <c r="Q6" s="19" cm="1">
        <f t="array" ref="Q6">$A6*COMBIN($B6,2)*($A6-1)*COMBIN($B6-2,2)/2*EXP(LOGANYMINE($A6-2, $B6-4)-$D6)</f>
        <v>3.1420657131781429</v>
      </c>
      <c r="R6" s="19" cm="1">
        <f t="array" ref="R6">$A6*COMBIN($B6,3)*($A6-1)*COMBIN($B6-3,3)/2*EXP(LOGANYMINE($A6-2, $B6-6)-$D6)</f>
        <v>6.8182962341890377E-3</v>
      </c>
      <c r="S6" s="19" cm="1">
        <f t="array" ref="S6">$A6*COMBIN($B6,4)*($A6-1)*COMBIN($B6-4,4)/2*EXP(LOGANYMINE($A6-2, $B6-8)-$D6)</f>
        <v>7.4110766852022174E-6</v>
      </c>
      <c r="U6" s="19" cm="1">
        <f t="array" ref="U6">$A6*COMBIN($B6,2)*($A6-1)*COMBIN($B6-2,2)*($A6-2)*COMBIN($B6-4,2)/FACT(3)*EXP(LOGANYMINE($A6-2, $B6-6)-$D6)</f>
        <v>2.5977708652260234</v>
      </c>
      <c r="V6" s="19" cm="1">
        <f t="array" ref="V6">$A6*COMBIN($B6,3)*($A6-1)*COMBIN($B6-3,3)*($A6-2)*COMBIN($B6-6,3)/FACT(3)*EXP(LOGANYMINE($A6-2, $B6-9)-$D6)</f>
        <v>2.1080395904575196E-4</v>
      </c>
      <c r="W6" s="19" cm="1">
        <f t="array" ref="W6">$A6*COMBIN($B6,4)*($A6-1)*COMBIN($B6-4,4)*($A6-2)*COMBIN($B6-8,4)/FACT(3)*EXP(LOGANYMINE($A6-2, $B6-12)-$D6)</f>
        <v>5.420989743289213E-9</v>
      </c>
    </row>
    <row r="7" spans="1:23" x14ac:dyDescent="0.35">
      <c r="A7">
        <f>16*30</f>
        <v>480</v>
      </c>
      <c r="B7">
        <v>99</v>
      </c>
      <c r="C7" s="6">
        <f>B7/A7</f>
        <v>0.20624999999999999</v>
      </c>
      <c r="D7" s="6" cm="1">
        <f t="array" ref="D7">LOGANYMINE(A7,B7)</f>
        <v>611.20482428629168</v>
      </c>
      <c r="E7" s="8" cm="1">
        <f t="array" ref="E7">EXP(LOGSINGLEMINE(A7,B7)-D7)</f>
        <v>1.885734464213563E-5</v>
      </c>
      <c r="F7" s="8">
        <v>0.54817950051003606</v>
      </c>
      <c r="G7" s="8">
        <v>0.97129321787471701</v>
      </c>
      <c r="H7" s="8" cm="1">
        <f t="array" ref="H7">A7*COMBIN(B7,2)*EXP(LOGSINGLEMINE(A7-1, B7-2)-D7)</f>
        <v>2.3946853104448817E-4</v>
      </c>
      <c r="I7" s="8" cm="1">
        <f t="array" ref="I7">A7*COMBIN(B7,3)*EXP(LOGSINGLEMINE(A7-1,B7-3)-D7)</f>
        <v>2.0216229339699854E-5</v>
      </c>
      <c r="J7" s="8" cm="1">
        <f t="array" ref="J7">A7*COMBIN(B7,4)*EXP(LOGSINGLEMINE(A7-1,B7-4)-D7)</f>
        <v>1.2635143337312275E-6</v>
      </c>
      <c r="L7" s="14" cm="1">
        <f t="array" ref="L7">$A7*COMBIN($B7,2)*EXP(LOGANYMINE($A7-1, $B7-2)-$D7)</f>
        <v>8.2553371191426503</v>
      </c>
      <c r="M7" s="4" cm="1">
        <f t="array" ref="M7">$A7*COMBIN($B7,3)*EXP(LOGANYMINE($A7-1, $B7-3)-$D7)</f>
        <v>0.55724961764568259</v>
      </c>
      <c r="N7" s="4" cm="1">
        <f t="array" ref="N7">$A7*COMBIN($B7,4)*EXP(LOGANYMINE($A7-1, $B7-4)-$D7)</f>
        <v>2.7920648900827821E-2</v>
      </c>
      <c r="O7" s="4" cm="1">
        <f t="array" ref="O7">$A7*COMBIN($B7,5)*EXP(LOGANYMINE($A7-1, $B7-5)-$D7)</f>
        <v>1.1074996432478799E-3</v>
      </c>
      <c r="Q7" s="19" cm="1">
        <f t="array" ref="Q7">$A7*COMBIN($B7,2)*($A7-1)*COMBIN($B7-2,2)/2*EXP(LOGANYMINE($A7-2, $B7-4)-$D7)</f>
        <v>32.897180624852531</v>
      </c>
      <c r="R7" s="19" cm="1">
        <f t="array" ref="R7">$A7*COMBIN($B7,3)*($A7-1)*COMBIN($B7-3,3)/2*EXP(LOGANYMINE($A7-2, $B7-6)-$D7)</f>
        <v>0.14286039138162135</v>
      </c>
      <c r="S7" s="19" cm="1">
        <f t="array" ref="S7">$A7*COMBIN($B7,4)*($A7-1)*COMBIN($B7-4,4)/2*EXP(LOGANYMINE($A7-2, $B7-8)-$D7)</f>
        <v>3.3435424052154737E-4</v>
      </c>
      <c r="U7" s="19" cm="1">
        <f t="array" ref="U7">$A7*COMBIN($B7,2)*($A7-1)*COMBIN($B7-2,2)*($A7-2)*COMBIN($B7-4,2)/FACT(3)*EXP(LOGANYMINE($A7-2, $B7-6)-$D7)</f>
        <v>102.43090062062252</v>
      </c>
      <c r="V7" s="19" cm="1">
        <f t="array" ref="V7">$A7*COMBIN($B7,3)*($A7-1)*COMBIN($B7-3,3)*($A7-2)*COMBIN($B7-6,3)/FACT(3)*EXP(LOGANYMINE($A7-2, $B7-9)-$D7)</f>
        <v>2.7045543011075299E-2</v>
      </c>
      <c r="W7" s="19" cm="1">
        <f t="array" ref="W7">$A7*COMBIN($B7,4)*($A7-1)*COMBIN($B7-4,4)*($A7-2)*COMBIN($B7-8,4)/FACT(3)*EXP(LOGANYMINE($A7-2, $B7-12)-$D7)</f>
        <v>2.7273899125301759E-6</v>
      </c>
    </row>
    <row r="8" spans="1:23" x14ac:dyDescent="0.35">
      <c r="A8">
        <f>30*30</f>
        <v>900</v>
      </c>
      <c r="B8">
        <v>200</v>
      </c>
      <c r="C8" s="6">
        <f>B8/A8</f>
        <v>0.22222222222222221</v>
      </c>
      <c r="D8" s="6" cm="1">
        <f t="array" ref="D8">LOGANYMINE(A8,B8)</f>
        <v>1360.4789526648622</v>
      </c>
      <c r="E8" s="8" cm="1">
        <f t="array" ref="E8">EXP(LOGSINGLEMINE(A8,B8)-D8)</f>
        <v>3.9517818508831452E-11</v>
      </c>
      <c r="F8" s="8">
        <v>0.24218571389760099</v>
      </c>
      <c r="G8" s="8">
        <v>0.92793901048124505</v>
      </c>
      <c r="H8" s="8" cm="1">
        <f t="array" ref="H8">A8*COMBIN(B8,2)*EXP(LOGSINGLEMINE(A8-1, B8-2)-D8)</f>
        <v>1.1218325083107562E-9</v>
      </c>
      <c r="I8" s="8" cm="1">
        <f t="array" ref="I8">A8*COMBIN(B8,3)*EXP(LOGSINGLEMINE(A8-1,B8-3)-D8)</f>
        <v>1.0547143240530108E-10</v>
      </c>
      <c r="J8" s="8" cm="1">
        <f t="array" ref="J8">A8*COMBIN(B8,4)*EXP(LOGSINGLEMINE(A8-1,B8-4)-D8)</f>
        <v>7.3890014878543635E-12</v>
      </c>
      <c r="L8" s="14" cm="1">
        <f t="array" ref="L8">$A8*COMBIN($B8,2)*EXP(LOGANYMINE($A8-1, $B8-2)-$D8)</f>
        <v>17.742412053100896</v>
      </c>
      <c r="M8" s="4" cm="1">
        <f t="array" ref="M8">$A8*COMBIN($B8,3)*EXP(LOGANYMINE($A8-1, $B8-3)-$D8)</f>
        <v>1.3025575033424412</v>
      </c>
      <c r="N8" s="4" cm="1">
        <f t="array" ref="N8">$A8*COMBIN($B8,4)*EXP(LOGANYMINE($A8-1, $B8-4)-$D8)</f>
        <v>7.1358127963972617E-2</v>
      </c>
      <c r="O8" s="4" cm="1">
        <f t="array" ref="O8">$A8*COMBIN($B8,5)*EXP(LOGANYMINE($A8-1, $B8-5)-$D8)</f>
        <v>3.1115001292408881E-3</v>
      </c>
      <c r="Q8" s="19" cm="1">
        <f t="array" ref="Q8">$A8*COMBIN($B8,2)*($A8-1)*COMBIN($B8-2,2)/2*EXP(LOGANYMINE($A8-2, $B8-4)-$D8)</f>
        <v>154.73437376655534</v>
      </c>
      <c r="R8" s="19" cm="1">
        <f t="array" ref="R8">$A8*COMBIN($B8,3)*($A8-1)*COMBIN($B8-3,3)/2*EXP(LOGANYMINE($A8-2, $B8-6)-$D8)</f>
        <v>0.81485869026185764</v>
      </c>
      <c r="S8" s="19" cm="1">
        <f t="array" ref="S8">$A8*COMBIN($B8,4)*($A8-1)*COMBIN($B8-4,4)/2*EXP(LOGANYMINE($A8-2, $B8-8)-$D8)</f>
        <v>2.3646598882804282E-3</v>
      </c>
      <c r="U8" s="19" cm="1">
        <f t="array" ref="U8">$A8*COMBIN($B8,2)*($A8-1)*COMBIN($B8-2,2)*($A8-2)*COMBIN($B8-4,2)/FACT(3)*EXP(LOGANYMINE($A8-2, $B8-6)-$D8)</f>
        <v>1097.6146557827226</v>
      </c>
      <c r="V8" s="19" cm="1">
        <f t="array" ref="V8">$A8*COMBIN($B8,3)*($A8-1)*COMBIN($B8-3,3)*($A8-2)*COMBIN($B8-6,3)/FACT(3)*EXP(LOGANYMINE($A8-2, $B8-9)-$D8)</f>
        <v>0.40356862093322388</v>
      </c>
      <c r="W8" s="19" cm="1">
        <f t="array" ref="W8">$A8*COMBIN($B8,4)*($A8-1)*COMBIN($B8-4,4)*($A8-2)*COMBIN($B8-8,4)/FACT(3)*EXP(LOGANYMINE($A8-2, $B8-12)-$D8)</f>
        <v>5.9725140371364301E-5</v>
      </c>
    </row>
    <row r="9" spans="1:23" x14ac:dyDescent="0.35">
      <c r="A9">
        <f>50*50</f>
        <v>2500</v>
      </c>
      <c r="B9">
        <v>625</v>
      </c>
      <c r="C9" s="6">
        <f>B9/A9</f>
        <v>0.25</v>
      </c>
      <c r="D9" s="6" cm="1">
        <f t="array" ref="D9">LOGANYMINE(A9,B9)</f>
        <v>4890.0287567851828</v>
      </c>
      <c r="E9" s="8" cm="1">
        <f t="array" ref="E9">EXP(LOGSINGLEMINE(A9,B9)-D9)</f>
        <v>7.7364993580713195E-38</v>
      </c>
      <c r="F9" s="8">
        <v>3.7577371136690201E-3</v>
      </c>
      <c r="G9" s="8">
        <v>0.71753847307642304</v>
      </c>
      <c r="H9" s="8" cm="1">
        <f t="array" ref="H9">A9*COMBIN(B9,2)*EXP(LOGSINGLEMINE(A9-1, B9-2)-D9)</f>
        <v>8.0416704414955729E-36</v>
      </c>
      <c r="I9" s="8" cm="1">
        <f t="array" ref="I9">A9*COMBIN(B9,3)*EXP(LOGSINGLEMINE(A9-1,B9-3)-D9)</f>
        <v>8.8971065264714245E-37</v>
      </c>
      <c r="J9" s="8" cm="1">
        <f t="array" ref="J9">A9*COMBIN(B9,4)*EXP(LOGSINGLEMINE(A9-1,B9-4)-D9)</f>
        <v>7.3668800046092297E-38</v>
      </c>
      <c r="L9" s="14" cm="1">
        <f t="array" ref="L9">$A9*COMBIN($B9,2)*EXP(LOGANYMINE($A9-1, $B9-2)-$D9)</f>
        <v>60.792046933098732</v>
      </c>
      <c r="M9" s="4" cm="1">
        <f t="array" ref="M9">$A9*COMBIN($B9,3)*EXP(LOGANYMINE($A9-1, $B9-3)-$D9)</f>
        <v>5.0518134239429688</v>
      </c>
      <c r="N9" s="4" cm="1">
        <f t="array" ref="N9">$A9*COMBIN($B9,4)*EXP(LOGANYMINE($A9-1, $B9-4)-$D9)</f>
        <v>0.31434853438312516</v>
      </c>
      <c r="O9" s="4" cm="1">
        <f t="array" ref="O9">$A9*COMBIN($B9,5)*EXP(LOGANYMINE($A9-1, $B9-5)-$D9)</f>
        <v>1.5623084421928354E-2</v>
      </c>
      <c r="Q9" s="19" cm="1">
        <f t="array" ref="Q9">$A9*COMBIN($B9,2)*($A9-1)*COMBIN($B9-2,2)/2*EXP(LOGANYMINE($A9-2, $B9-4)-$D9)</f>
        <v>1838.0420121157626</v>
      </c>
      <c r="R9" s="19" cm="1">
        <f t="array" ref="R9">$A9*COMBIN($B9,3)*($A9-1)*COMBIN($B9-3,3)/2*EXP(LOGANYMINE($A9-2, $B9-6)-$D9)</f>
        <v>12.601183793836</v>
      </c>
      <c r="S9" s="19" cm="1">
        <f t="array" ref="S9">$A9*COMBIN($B9,4)*($A9-1)*COMBIN($B9-4,4)/2*EXP(LOGANYMINE($A9-2, $B9-8)-$D9)</f>
        <v>4.8282040873526604E-2</v>
      </c>
      <c r="U9" s="19" cm="1">
        <f t="array" ref="U9">$A9*COMBIN($B9,2)*($A9-1)*COMBIN($B9-2,2)*($A9-2)*COMBIN($B9-4,2)/FACT(3)*EXP(LOGANYMINE($A9-2, $B9-6)-$D9)</f>
        <v>47216.635675503494</v>
      </c>
      <c r="V9" s="19" cm="1">
        <f t="array" ref="V9">$A9*COMBIN($B9,3)*($A9-1)*COMBIN($B9-3,3)*($A9-2)*COMBIN($B9-6,3)/FACT(3)*EXP(LOGANYMINE($A9-2, $B9-9)-$D9)</f>
        <v>26.480017083530477</v>
      </c>
      <c r="W9" s="19" cm="1">
        <f t="array" ref="W9">$A9*COMBIN($B9,4)*($A9-1)*COMBIN($B9-4,4)*($A9-2)*COMBIN($B9-8,4)/FACT(3)*EXP(LOGANYMINE($A9-2, $B9-12)-$D9)</f>
        <v>6.1742638403512913E-3</v>
      </c>
    </row>
    <row r="11" spans="1:23" x14ac:dyDescent="0.35">
      <c r="B11" s="6"/>
    </row>
    <row r="12" spans="1:23" x14ac:dyDescent="0.35">
      <c r="B12" s="6"/>
    </row>
    <row r="13" spans="1:23" x14ac:dyDescent="0.35">
      <c r="B13" s="6"/>
    </row>
    <row r="14" spans="1:23" x14ac:dyDescent="0.35">
      <c r="B14" s="6"/>
    </row>
  </sheetData>
  <mergeCells count="6">
    <mergeCell ref="A1:A2"/>
    <mergeCell ref="B1:B2"/>
    <mergeCell ref="C1:C2"/>
    <mergeCell ref="E1:G1"/>
    <mergeCell ref="H1:J1"/>
    <mergeCell ref="L1:O1"/>
  </mergeCells>
  <conditionalFormatting sqref="E3:K900">
    <cfRule type="colorScale" priority="6">
      <colorScale>
        <cfvo type="num" val="0"/>
        <cfvo type="num" val="1"/>
        <color rgb="FFFCFCFF"/>
        <color rgb="FF63BE7B"/>
      </colorScale>
    </cfRule>
  </conditionalFormatting>
  <conditionalFormatting sqref="C3:C1048576 C1">
    <cfRule type="colorScale" priority="5">
      <colorScale>
        <cfvo type="num" val="0"/>
        <cfvo type="num" val="1"/>
        <color rgb="FFFCFCFF"/>
        <color theme="4"/>
      </colorScale>
    </cfRule>
  </conditionalFormatting>
  <conditionalFormatting sqref="B11:B14">
    <cfRule type="colorScale" priority="1">
      <colorScale>
        <cfvo type="num" val="0"/>
        <cfvo type="num" val="1"/>
        <color rgb="FFFCFCFF"/>
        <color theme="4"/>
      </colorScale>
    </cfRule>
  </conditionalFormatting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Lewis Gaul (legaul)</dc:creator>
  <cp:lastModifiedBy>Lewis Gaul (legaul)</cp:lastModifiedBy>
  <dcterms:created xsi:type="dcterms:W3CDTF">2021-08-08T20:59:35Z</dcterms:created>
  <dcterms:modified xsi:type="dcterms:W3CDTF">2021-08-16T21:51:57Z</dcterms:modified>
</cp:coreProperties>
</file>